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ad/Desktop/"/>
    </mc:Choice>
  </mc:AlternateContent>
  <xr:revisionPtr revIDLastSave="0" documentId="13_ncr:1_{938838FE-25FE-1D44-86ED-6E4AE37C1E40}" xr6:coauthVersionLast="47" xr6:coauthVersionMax="47" xr10:uidLastSave="{00000000-0000-0000-0000-000000000000}"/>
  <bookViews>
    <workbookView xWindow="0" yWindow="760" windowWidth="30240" windowHeight="17660" xr2:uid="{F32FF4AB-2458-BD4D-9FBE-BD4A98462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6" i="1"/>
  <c r="K7" i="1"/>
  <c r="K8" i="1"/>
  <c r="L8" i="1"/>
  <c r="K9" i="1"/>
  <c r="K10" i="1"/>
  <c r="K11" i="1"/>
  <c r="K12" i="1"/>
  <c r="L12" i="1"/>
  <c r="K13" i="1"/>
  <c r="K14" i="1"/>
  <c r="K15" i="1"/>
  <c r="K16" i="1"/>
  <c r="L16" i="1"/>
  <c r="K17" i="1"/>
  <c r="K18" i="1"/>
  <c r="L18" i="1"/>
  <c r="K19" i="1"/>
  <c r="K20" i="1"/>
  <c r="K21" i="1"/>
  <c r="K22" i="1"/>
  <c r="K23" i="1"/>
  <c r="K24" i="1"/>
  <c r="L24" i="1"/>
  <c r="K25" i="1"/>
  <c r="K26" i="1"/>
  <c r="L26" i="1"/>
  <c r="K27" i="1"/>
  <c r="K28" i="1"/>
  <c r="L28" i="1"/>
  <c r="K29" i="1"/>
  <c r="K30" i="1"/>
  <c r="L30" i="1"/>
  <c r="L6" i="1"/>
  <c r="K6" i="1"/>
  <c r="L4" i="1"/>
  <c r="L10" i="1" s="1"/>
  <c r="L20" i="1" l="1"/>
  <c r="L22" i="1"/>
  <c r="L14" i="1"/>
  <c r="K3" i="1"/>
  <c r="L7" i="1"/>
  <c r="L9" i="1"/>
  <c r="L11" i="1"/>
  <c r="L13" i="1"/>
  <c r="L15" i="1"/>
  <c r="L17" i="1"/>
  <c r="L19" i="1"/>
  <c r="L21" i="1"/>
  <c r="L23" i="1"/>
  <c r="L25" i="1"/>
  <c r="L27" i="1"/>
  <c r="L29" i="1"/>
  <c r="M4" i="1"/>
  <c r="N4" i="1"/>
  <c r="N6" i="1" l="1"/>
  <c r="N21" i="1"/>
  <c r="N27" i="1"/>
  <c r="N29" i="1"/>
  <c r="N7" i="1"/>
  <c r="N9" i="1"/>
  <c r="N11" i="1"/>
  <c r="N13" i="1"/>
  <c r="N15" i="1"/>
  <c r="N17" i="1"/>
  <c r="N19" i="1"/>
  <c r="N23" i="1"/>
  <c r="N25" i="1"/>
  <c r="N16" i="1"/>
  <c r="N24" i="1"/>
  <c r="N20" i="1"/>
  <c r="N12" i="1"/>
  <c r="N26" i="1"/>
  <c r="N8" i="1"/>
  <c r="N22" i="1"/>
  <c r="N10" i="1"/>
  <c r="N14" i="1"/>
  <c r="N28" i="1"/>
  <c r="N18" i="1"/>
  <c r="N30" i="1"/>
  <c r="M6" i="1"/>
  <c r="M7" i="1"/>
  <c r="M9" i="1"/>
  <c r="M11" i="1"/>
  <c r="M13" i="1"/>
  <c r="M15" i="1"/>
  <c r="M17" i="1"/>
  <c r="M19" i="1"/>
  <c r="M21" i="1"/>
  <c r="M23" i="1"/>
  <c r="M25" i="1"/>
  <c r="M27" i="1"/>
  <c r="M29" i="1"/>
  <c r="M20" i="1"/>
  <c r="M8" i="1"/>
  <c r="M16" i="1"/>
  <c r="M10" i="1"/>
  <c r="M14" i="1"/>
  <c r="M22" i="1"/>
  <c r="M12" i="1"/>
  <c r="M24" i="1"/>
  <c r="M30" i="1"/>
  <c r="M18" i="1"/>
  <c r="M26" i="1"/>
  <c r="M28" i="1"/>
  <c r="O4" i="1"/>
  <c r="M3" i="1"/>
  <c r="P4" i="1" l="1"/>
  <c r="O6" i="1"/>
  <c r="O9" i="1"/>
  <c r="O15" i="1"/>
  <c r="O17" i="1"/>
  <c r="O19" i="1"/>
  <c r="O21" i="1"/>
  <c r="O29" i="1"/>
  <c r="O11" i="1"/>
  <c r="O13" i="1"/>
  <c r="O23" i="1"/>
  <c r="O25" i="1"/>
  <c r="O27" i="1"/>
  <c r="O7" i="1"/>
  <c r="O22" i="1"/>
  <c r="O30" i="1"/>
  <c r="O16" i="1"/>
  <c r="O24" i="1"/>
  <c r="O18" i="1"/>
  <c r="O26" i="1"/>
  <c r="O8" i="1"/>
  <c r="O28" i="1"/>
  <c r="O12" i="1"/>
  <c r="O10" i="1"/>
  <c r="O14" i="1"/>
  <c r="O20" i="1"/>
  <c r="Q4" i="1" l="1"/>
  <c r="P8" i="1"/>
  <c r="P10" i="1"/>
  <c r="P12" i="1"/>
  <c r="P15" i="1"/>
  <c r="P21" i="1"/>
  <c r="P25" i="1"/>
  <c r="P6" i="1"/>
  <c r="P7" i="1"/>
  <c r="P9" i="1"/>
  <c r="P11" i="1"/>
  <c r="P17" i="1"/>
  <c r="P19" i="1"/>
  <c r="P23" i="1"/>
  <c r="P13" i="1"/>
  <c r="P20" i="1"/>
  <c r="P27" i="1"/>
  <c r="P28" i="1"/>
  <c r="P30" i="1"/>
  <c r="P18" i="1"/>
  <c r="P26" i="1"/>
  <c r="P16" i="1"/>
  <c r="P24" i="1"/>
  <c r="P14" i="1"/>
  <c r="P22" i="1"/>
  <c r="P29" i="1"/>
  <c r="R4" i="1" l="1"/>
  <c r="Q8" i="1"/>
  <c r="Q11" i="1"/>
  <c r="Q18" i="1"/>
  <c r="Q26" i="1"/>
  <c r="Q13" i="1"/>
  <c r="Q22" i="1"/>
  <c r="Q27" i="1"/>
  <c r="Q17" i="1"/>
  <c r="Q28" i="1"/>
  <c r="Q21" i="1"/>
  <c r="Q6" i="1"/>
  <c r="Q29" i="1"/>
  <c r="Q7" i="1"/>
  <c r="Q15" i="1"/>
  <c r="Q23" i="1"/>
  <c r="Q24" i="1"/>
  <c r="Q10" i="1"/>
  <c r="Q20" i="1"/>
  <c r="Q30" i="1"/>
  <c r="Q16" i="1"/>
  <c r="Q9" i="1"/>
  <c r="Q14" i="1"/>
  <c r="Q12" i="1"/>
  <c r="Q25" i="1"/>
  <c r="Q19" i="1"/>
  <c r="S4" i="1" l="1"/>
  <c r="R8" i="1"/>
  <c r="R10" i="1"/>
  <c r="R12" i="1"/>
  <c r="R14" i="1"/>
  <c r="R16" i="1"/>
  <c r="R18" i="1"/>
  <c r="R20" i="1"/>
  <c r="R22" i="1"/>
  <c r="R24" i="1"/>
  <c r="R26" i="1"/>
  <c r="R28" i="1"/>
  <c r="R30" i="1"/>
  <c r="R17" i="1"/>
  <c r="R25" i="1"/>
  <c r="R11" i="1"/>
  <c r="R13" i="1"/>
  <c r="R19" i="1"/>
  <c r="R27" i="1"/>
  <c r="R29" i="1"/>
  <c r="R23" i="1"/>
  <c r="R9" i="1"/>
  <c r="R6" i="1"/>
  <c r="R7" i="1"/>
  <c r="R15" i="1"/>
  <c r="R21" i="1"/>
  <c r="S8" i="1" l="1"/>
  <c r="S10" i="1"/>
  <c r="S12" i="1"/>
  <c r="S14" i="1"/>
  <c r="S16" i="1"/>
  <c r="S18" i="1"/>
  <c r="S20" i="1"/>
  <c r="S22" i="1"/>
  <c r="S24" i="1"/>
  <c r="S26" i="1"/>
  <c r="S28" i="1"/>
  <c r="S30" i="1"/>
  <c r="S9" i="1"/>
  <c r="S17" i="1"/>
  <c r="S25" i="1"/>
  <c r="S13" i="1"/>
  <c r="S6" i="1"/>
  <c r="S11" i="1"/>
  <c r="S23" i="1"/>
  <c r="S21" i="1"/>
  <c r="S19" i="1"/>
  <c r="S29" i="1"/>
  <c r="S7" i="1"/>
  <c r="S15" i="1"/>
  <c r="S27" i="1"/>
  <c r="Q3" i="1"/>
  <c r="T4" i="1"/>
  <c r="U4" i="1" l="1"/>
  <c r="T14" i="1"/>
  <c r="T16" i="1"/>
  <c r="T18" i="1"/>
  <c r="T22" i="1"/>
  <c r="T24" i="1"/>
  <c r="T28" i="1"/>
  <c r="T30" i="1"/>
  <c r="T8" i="1"/>
  <c r="T10" i="1"/>
  <c r="T12" i="1"/>
  <c r="T20" i="1"/>
  <c r="T26" i="1"/>
  <c r="T27" i="1"/>
  <c r="T29" i="1"/>
  <c r="T7" i="1"/>
  <c r="T15" i="1"/>
  <c r="T23" i="1"/>
  <c r="T17" i="1"/>
  <c r="T25" i="1"/>
  <c r="T21" i="1"/>
  <c r="T11" i="1"/>
  <c r="T13" i="1"/>
  <c r="T19" i="1"/>
  <c r="T9" i="1"/>
  <c r="T6" i="1"/>
  <c r="V4" i="1" l="1"/>
  <c r="U10" i="1"/>
  <c r="U12" i="1"/>
  <c r="U22" i="1"/>
  <c r="U24" i="1"/>
  <c r="U26" i="1"/>
  <c r="U8" i="1"/>
  <c r="U14" i="1"/>
  <c r="U16" i="1"/>
  <c r="U18" i="1"/>
  <c r="U20" i="1"/>
  <c r="U28" i="1"/>
  <c r="U30" i="1"/>
  <c r="U19" i="1"/>
  <c r="U6" i="1"/>
  <c r="U7" i="1"/>
  <c r="U9" i="1"/>
  <c r="U13" i="1"/>
  <c r="U27" i="1"/>
  <c r="U29" i="1"/>
  <c r="U25" i="1"/>
  <c r="U17" i="1"/>
  <c r="U21" i="1"/>
  <c r="U11" i="1"/>
  <c r="U15" i="1"/>
  <c r="U23" i="1"/>
  <c r="W4" i="1" l="1"/>
  <c r="V7" i="1"/>
  <c r="V9" i="1"/>
  <c r="V11" i="1"/>
  <c r="V13" i="1"/>
  <c r="V12" i="1"/>
  <c r="V14" i="1"/>
  <c r="V20" i="1"/>
  <c r="V22" i="1"/>
  <c r="V24" i="1"/>
  <c r="V10" i="1"/>
  <c r="V8" i="1"/>
  <c r="V16" i="1"/>
  <c r="V18" i="1"/>
  <c r="V26" i="1"/>
  <c r="V28" i="1"/>
  <c r="V30" i="1"/>
  <c r="V25" i="1"/>
  <c r="V19" i="1"/>
  <c r="V6" i="1"/>
  <c r="V21" i="1"/>
  <c r="V27" i="1"/>
  <c r="V29" i="1"/>
  <c r="V17" i="1"/>
  <c r="V23" i="1"/>
  <c r="V15" i="1"/>
  <c r="X4" i="1" l="1"/>
  <c r="W7" i="1"/>
  <c r="W8" i="1"/>
  <c r="W12" i="1"/>
  <c r="W25" i="1"/>
  <c r="W18" i="1"/>
  <c r="W26" i="1"/>
  <c r="W28" i="1"/>
  <c r="W30" i="1"/>
  <c r="W24" i="1"/>
  <c r="W17" i="1"/>
  <c r="W23" i="1"/>
  <c r="W20" i="1"/>
  <c r="W9" i="1"/>
  <c r="W13" i="1"/>
  <c r="W21" i="1"/>
  <c r="W19" i="1"/>
  <c r="W6" i="1"/>
  <c r="W27" i="1"/>
  <c r="W29" i="1"/>
  <c r="W11" i="1"/>
  <c r="W16" i="1"/>
  <c r="W10" i="1"/>
  <c r="W15" i="1"/>
  <c r="W14" i="1"/>
  <c r="W22" i="1"/>
  <c r="X7" i="1" l="1"/>
  <c r="X9" i="1"/>
  <c r="X11" i="1"/>
  <c r="X13" i="1"/>
  <c r="X15" i="1"/>
  <c r="X17" i="1"/>
  <c r="X19" i="1"/>
  <c r="X21" i="1"/>
  <c r="X23" i="1"/>
  <c r="X25" i="1"/>
  <c r="X27" i="1"/>
  <c r="X29" i="1"/>
  <c r="X14" i="1"/>
  <c r="X8" i="1"/>
  <c r="X12" i="1"/>
  <c r="X18" i="1"/>
  <c r="X26" i="1"/>
  <c r="X28" i="1"/>
  <c r="X30" i="1"/>
  <c r="X6" i="1"/>
  <c r="X16" i="1"/>
  <c r="X24" i="1"/>
  <c r="X10" i="1"/>
  <c r="X22" i="1"/>
  <c r="X20" i="1"/>
  <c r="Y4" i="1"/>
  <c r="V3" i="1"/>
  <c r="Z4" i="1" l="1"/>
  <c r="Y6" i="1"/>
  <c r="Y7" i="1"/>
  <c r="Y9" i="1"/>
  <c r="Y11" i="1"/>
  <c r="Y13" i="1"/>
  <c r="Y15" i="1"/>
  <c r="Y17" i="1"/>
  <c r="Y19" i="1"/>
  <c r="Y21" i="1"/>
  <c r="Y23" i="1"/>
  <c r="Y25" i="1"/>
  <c r="Y27" i="1"/>
  <c r="Y29" i="1"/>
  <c r="Y20" i="1"/>
  <c r="Y16" i="1"/>
  <c r="Y24" i="1"/>
  <c r="Y22" i="1"/>
  <c r="Y8" i="1"/>
  <c r="Y12" i="1"/>
  <c r="Y26" i="1"/>
  <c r="Y28" i="1"/>
  <c r="Y30" i="1"/>
  <c r="Y14" i="1"/>
  <c r="Y18" i="1"/>
  <c r="Y10" i="1"/>
  <c r="Z6" i="1" l="1"/>
  <c r="Z19" i="1"/>
  <c r="Z23" i="1"/>
  <c r="Z25" i="1"/>
  <c r="Z7" i="1"/>
  <c r="Z9" i="1"/>
  <c r="Z11" i="1"/>
  <c r="Z13" i="1"/>
  <c r="Z15" i="1"/>
  <c r="Z17" i="1"/>
  <c r="Z21" i="1"/>
  <c r="Z27" i="1"/>
  <c r="Z29" i="1"/>
  <c r="Z28" i="1"/>
  <c r="Z20" i="1"/>
  <c r="Z30" i="1"/>
  <c r="Z14" i="1"/>
  <c r="Z26" i="1"/>
  <c r="Z16" i="1"/>
  <c r="Z10" i="1"/>
  <c r="Z8" i="1"/>
  <c r="Z12" i="1"/>
  <c r="Z22" i="1"/>
  <c r="Z18" i="1"/>
  <c r="Z24" i="1"/>
  <c r="AA4" i="1"/>
  <c r="Z3" i="1"/>
  <c r="AB4" i="1" l="1"/>
  <c r="AA7" i="1"/>
  <c r="AA9" i="1"/>
  <c r="AA11" i="1"/>
  <c r="AA13" i="1"/>
  <c r="AA15" i="1"/>
  <c r="AA17" i="1"/>
  <c r="AA19" i="1"/>
  <c r="AA23" i="1"/>
  <c r="AA27" i="1"/>
  <c r="AA29" i="1"/>
  <c r="AA6" i="1"/>
  <c r="AA21" i="1"/>
  <c r="AA25" i="1"/>
  <c r="AA28" i="1"/>
  <c r="AA22" i="1"/>
  <c r="AA26" i="1"/>
  <c r="AA20" i="1"/>
  <c r="AA18" i="1"/>
  <c r="AA16" i="1"/>
  <c r="AA24" i="1"/>
  <c r="AA10" i="1"/>
  <c r="AA14" i="1"/>
  <c r="AA30" i="1"/>
  <c r="AA8" i="1"/>
  <c r="AA12" i="1"/>
  <c r="AB8" i="1" l="1"/>
  <c r="AB10" i="1"/>
  <c r="AB12" i="1"/>
  <c r="AB9" i="1"/>
  <c r="AB6" i="1"/>
  <c r="AB7" i="1"/>
  <c r="AB11" i="1"/>
  <c r="AB13" i="1"/>
  <c r="AB15" i="1"/>
  <c r="AB17" i="1"/>
  <c r="AB19" i="1"/>
  <c r="AB25" i="1"/>
  <c r="AB21" i="1"/>
  <c r="AB23" i="1"/>
  <c r="AB14" i="1"/>
  <c r="AB22" i="1"/>
  <c r="AB26" i="1"/>
  <c r="AB28" i="1"/>
  <c r="AB30" i="1"/>
  <c r="AB16" i="1"/>
  <c r="AB27" i="1"/>
  <c r="AB20" i="1"/>
  <c r="AB29" i="1"/>
  <c r="AB24" i="1"/>
  <c r="AB18" i="1"/>
</calcChain>
</file>

<file path=xl/sharedStrings.xml><?xml version="1.0" encoding="utf-8"?>
<sst xmlns="http://schemas.openxmlformats.org/spreadsheetml/2006/main" count="64" uniqueCount="44">
  <si>
    <t>Project Name :</t>
  </si>
  <si>
    <t>Smart Doorbell</t>
  </si>
  <si>
    <t>Project Start Date:</t>
  </si>
  <si>
    <t>Week Starting:</t>
  </si>
  <si>
    <t>#</t>
  </si>
  <si>
    <t>Activity</t>
  </si>
  <si>
    <t>Assigned To</t>
  </si>
  <si>
    <t>Start</t>
  </si>
  <si>
    <t>End</t>
  </si>
  <si>
    <t>Days</t>
  </si>
  <si>
    <t>Status</t>
  </si>
  <si>
    <t>%Done</t>
  </si>
  <si>
    <t>Brainstorm</t>
  </si>
  <si>
    <t>Finalise Project</t>
  </si>
  <si>
    <t>Create Sales Pitch</t>
  </si>
  <si>
    <t>Finalise Sales Pitch</t>
  </si>
  <si>
    <t>Build Facial Recog</t>
  </si>
  <si>
    <t>Refine Funding P</t>
  </si>
  <si>
    <t>Build App Prot</t>
  </si>
  <si>
    <t>Build Pi Prot</t>
  </si>
  <si>
    <t>Integrate Pi + App</t>
  </si>
  <si>
    <t>Create Poster</t>
  </si>
  <si>
    <t>Plan Demo Vid</t>
  </si>
  <si>
    <t>Create Demo Vid</t>
  </si>
  <si>
    <t>Create Code Cast</t>
  </si>
  <si>
    <t>Create Draft Sales</t>
  </si>
  <si>
    <t>Refine Sales Pitch</t>
  </si>
  <si>
    <t>All</t>
  </si>
  <si>
    <t>Finalise idea</t>
  </si>
  <si>
    <t>Saad</t>
  </si>
  <si>
    <t>Darsh</t>
  </si>
  <si>
    <t>Darsh, Saad</t>
  </si>
  <si>
    <t>Megan</t>
  </si>
  <si>
    <t>Baron</t>
  </si>
  <si>
    <t>Megan, Baron</t>
  </si>
  <si>
    <t>Dan</t>
  </si>
  <si>
    <t>Christen</t>
  </si>
  <si>
    <t>Lavanya</t>
  </si>
  <si>
    <t>Zohaib</t>
  </si>
  <si>
    <t>Aewaz</t>
  </si>
  <si>
    <t>Completed</t>
  </si>
  <si>
    <t>Not started</t>
  </si>
  <si>
    <t>Blocked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</si>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</sst>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"/>
    <numFmt numFmtId="165" formatCode="mmm"/>
    <numFmt numFmtId="166" formatCode="d\-mmm\-yy"/>
  </numFmts>
  <fonts count="7" x14ac:knownFonts="1">
    <font>
      <sz val="12"/>
      <color theme="1"/>
      <name val="Aptos Narrow"/>
      <family val="2"/>
      <scheme val="minor"/>
    </font>
    <font>
      <sz val="18"/>
      <color theme="1"/>
      <name val="Aptos Narrow (Body)"/>
    </font>
    <font>
      <sz val="11"/>
      <color theme="1"/>
      <name val="Aptos Narrow (Body)"/>
    </font>
    <font>
      <sz val="8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0" tint="-4.9989318521683403E-2"/>
      <name val="Aptos Narrow"/>
      <family val="2"/>
      <scheme val="minor"/>
    </font>
    <font>
      <sz val="12"/>
      <color theme="1"/>
      <name val="Wingdings"/>
      <charset val="2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5" fontId="0" fillId="0" borderId="0" xfId="0" applyNumberFormat="1" applyAlignment="1">
      <alignment horizontal="center" vertical="center"/>
    </xf>
    <xf numFmtId="164" fontId="0" fillId="4" borderId="5" xfId="0" applyNumberFormat="1" applyFill="1" applyBorder="1"/>
    <xf numFmtId="164" fontId="0" fillId="4" borderId="6" xfId="0" applyNumberFormat="1" applyFill="1" applyBorder="1"/>
    <xf numFmtId="164" fontId="0" fillId="5" borderId="6" xfId="0" applyNumberFormat="1" applyFill="1" applyBorder="1"/>
    <xf numFmtId="164" fontId="0" fillId="4" borderId="7" xfId="0" applyNumberForma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8" xfId="0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8" xfId="0" applyBorder="1" applyAlignment="1">
      <alignment horizontal="right" vertical="center"/>
    </xf>
    <xf numFmtId="166" fontId="0" fillId="0" borderId="8" xfId="0" applyNumberFormat="1" applyBorder="1"/>
    <xf numFmtId="0" fontId="5" fillId="6" borderId="8" xfId="0" applyFont="1" applyFill="1" applyBorder="1"/>
    <xf numFmtId="0" fontId="0" fillId="0" borderId="12" xfId="0" applyBorder="1"/>
    <xf numFmtId="0" fontId="0" fillId="7" borderId="13" xfId="0" applyFill="1" applyBorder="1"/>
    <xf numFmtId="0" fontId="0" fillId="8" borderId="13" xfId="0" applyFill="1" applyBorder="1"/>
    <xf numFmtId="0" fontId="0" fillId="5" borderId="13" xfId="0" applyFill="1" applyBorder="1"/>
    <xf numFmtId="0" fontId="0" fillId="9" borderId="13" xfId="0" applyFill="1" applyBorder="1"/>
    <xf numFmtId="0" fontId="6" fillId="0" borderId="11" xfId="0" applyFont="1" applyBorder="1" applyAlignment="1">
      <alignment horizontal="center" vertical="center"/>
    </xf>
    <xf numFmtId="0" fontId="4" fillId="10" borderId="10" xfId="0" applyFont="1" applyFill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0" fontId="0" fillId="11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9" fontId="0" fillId="0" borderId="1" xfId="0" applyNumberFormat="1" applyBorder="1"/>
    <xf numFmtId="9" fontId="0" fillId="0" borderId="8" xfId="0" applyNumberFormat="1" applyBorder="1"/>
    <xf numFmtId="9" fontId="0" fillId="0" borderId="0" xfId="0" applyNumberFormat="1"/>
  </cellXfs>
  <cellStyles count="1">
    <cellStyle name="Normal" xfId="0" builtinId="0"/>
  </cellStyles>
  <dxfs count="8">
    <dxf>
      <border>
        <left style="thin">
          <color auto="1"/>
        </left>
        <vertical/>
        <horizontal/>
      </border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8" tint="0.59996337778862885"/>
        </patternFill>
      </fill>
    </dxf>
    <dxf>
      <fill>
        <patternFill>
          <bgColor rgb="FFFFC9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900"/>
      <color rgb="FF327EFF"/>
      <color rgb="FF6BFF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767E-10C3-8A41-B87F-5CD880A844D4}">
  <dimension ref="B3:AB34"/>
  <sheetViews>
    <sheetView showGridLines="0" tabSelected="1" zoomScale="113" zoomScaleNormal="393" workbookViewId="0">
      <pane xSplit="10" ySplit="5" topLeftCell="K6" activePane="bottomRight" state="frozen"/>
      <selection pane="topRight" activeCell="K1" sqref="K1"/>
      <selection pane="bottomLeft" activeCell="A6" sqref="A6"/>
      <selection pane="bottomRight" activeCell="L33" sqref="L33"/>
    </sheetView>
  </sheetViews>
  <sheetFormatPr baseColWidth="10" defaultRowHeight="16" x14ac:dyDescent="0.2"/>
  <cols>
    <col min="1" max="1" width="5.6640625" customWidth="1"/>
    <col min="2" max="2" width="5" customWidth="1"/>
    <col min="3" max="3" width="17" bestFit="1" customWidth="1"/>
    <col min="4" max="4" width="19.5" bestFit="1" customWidth="1"/>
    <col min="5" max="5" width="9.5" bestFit="1" customWidth="1"/>
    <col min="6" max="6" width="9.6640625" bestFit="1" customWidth="1"/>
    <col min="7" max="7" width="5.33203125" bestFit="1" customWidth="1"/>
    <col min="8" max="8" width="10.33203125" bestFit="1" customWidth="1"/>
    <col min="10" max="10" width="1.6640625" customWidth="1"/>
    <col min="11" max="11" width="7.83203125" customWidth="1"/>
  </cols>
  <sheetData>
    <row r="3" spans="2:28" x14ac:dyDescent="0.2">
      <c r="C3" s="4" t="s">
        <v>2</v>
      </c>
      <c r="D3" s="6">
        <v>45685</v>
      </c>
      <c r="K3" s="27">
        <f>L4</f>
        <v>45684</v>
      </c>
      <c r="L3" s="28"/>
      <c r="M3" s="28">
        <f>N4</f>
        <v>45698</v>
      </c>
      <c r="N3" s="28"/>
      <c r="O3" s="28"/>
      <c r="P3" s="28"/>
      <c r="Q3" s="28">
        <f>S4</f>
        <v>45733</v>
      </c>
      <c r="R3" s="28"/>
      <c r="S3" s="28"/>
      <c r="T3" s="28"/>
      <c r="U3" s="28"/>
      <c r="V3" s="28">
        <f>X4</f>
        <v>45768</v>
      </c>
      <c r="W3" s="28"/>
      <c r="X3" s="28"/>
      <c r="Y3" s="28"/>
      <c r="Z3" s="29">
        <f>Z4</f>
        <v>45782</v>
      </c>
      <c r="AA3" s="29"/>
      <c r="AB3" s="30"/>
    </row>
    <row r="4" spans="2:28" ht="24" x14ac:dyDescent="0.3">
      <c r="C4" s="5" t="s">
        <v>0</v>
      </c>
      <c r="D4" s="2" t="s">
        <v>1</v>
      </c>
      <c r="I4" s="3" t="s">
        <v>3</v>
      </c>
      <c r="K4" s="7">
        <v>45677</v>
      </c>
      <c r="L4" s="8">
        <f>K4+7</f>
        <v>45684</v>
      </c>
      <c r="M4" s="9">
        <f>L4+7</f>
        <v>45691</v>
      </c>
      <c r="N4" s="9">
        <f t="shared" ref="N4:AB4" si="0">M4+7</f>
        <v>45698</v>
      </c>
      <c r="O4" s="9">
        <f t="shared" si="0"/>
        <v>45705</v>
      </c>
      <c r="P4" s="9">
        <f t="shared" si="0"/>
        <v>45712</v>
      </c>
      <c r="Q4" s="8">
        <f t="shared" si="0"/>
        <v>45719</v>
      </c>
      <c r="R4" s="8">
        <f>Q4+7</f>
        <v>45726</v>
      </c>
      <c r="S4" s="8">
        <f t="shared" si="0"/>
        <v>45733</v>
      </c>
      <c r="T4" s="8">
        <f t="shared" si="0"/>
        <v>45740</v>
      </c>
      <c r="U4" s="8">
        <f t="shared" si="0"/>
        <v>45747</v>
      </c>
      <c r="V4" s="9">
        <f t="shared" si="0"/>
        <v>45754</v>
      </c>
      <c r="W4" s="9">
        <f>V4+7</f>
        <v>45761</v>
      </c>
      <c r="X4" s="9">
        <f t="shared" si="0"/>
        <v>45768</v>
      </c>
      <c r="Y4" s="9">
        <f t="shared" si="0"/>
        <v>45775</v>
      </c>
      <c r="Z4" s="8">
        <f t="shared" si="0"/>
        <v>45782</v>
      </c>
      <c r="AA4" s="8">
        <f t="shared" si="0"/>
        <v>45789</v>
      </c>
      <c r="AB4" s="10">
        <f t="shared" si="0"/>
        <v>45796</v>
      </c>
    </row>
    <row r="5" spans="2:28" x14ac:dyDescent="0.2">
      <c r="B5" s="14" t="s">
        <v>4</v>
      </c>
      <c r="C5" s="25" t="s">
        <v>5</v>
      </c>
      <c r="D5" s="26" t="s">
        <v>6</v>
      </c>
      <c r="E5" s="26" t="s">
        <v>7</v>
      </c>
      <c r="F5" s="26" t="s">
        <v>8</v>
      </c>
      <c r="G5" s="26" t="s">
        <v>9</v>
      </c>
      <c r="H5" s="26" t="s">
        <v>10</v>
      </c>
      <c r="I5" s="26" t="s">
        <v>11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2:28" x14ac:dyDescent="0.2">
      <c r="B6" s="15">
        <v>1</v>
      </c>
      <c r="C6" s="31" t="s">
        <v>12</v>
      </c>
      <c r="D6" s="16" t="s">
        <v>27</v>
      </c>
      <c r="E6" s="17">
        <v>45685</v>
      </c>
      <c r="F6" s="17">
        <v>45724</v>
      </c>
      <c r="G6" s="18">
        <f>IF(F6="","",NETWORKDAYS(E6,F6))</f>
        <v>29</v>
      </c>
      <c r="H6" s="11" t="s">
        <v>40</v>
      </c>
      <c r="I6" s="35">
        <v>1</v>
      </c>
      <c r="J6" s="1"/>
      <c r="K6" s="24" t="str">
        <f>IF(K$4=($F6-WEEKDAY($F6,2)+1),"u","")</f>
        <v/>
      </c>
      <c r="L6" s="24" t="str">
        <f t="shared" ref="L6:AB20" si="1">IF(L$4=($F6-WEEKDAY($F6,2)+1),"u","")</f>
        <v/>
      </c>
      <c r="M6" s="24" t="str">
        <f t="shared" si="1"/>
        <v/>
      </c>
      <c r="N6" s="24" t="str">
        <f t="shared" si="1"/>
        <v/>
      </c>
      <c r="O6" s="24" t="str">
        <f t="shared" si="1"/>
        <v/>
      </c>
      <c r="P6" s="24" t="str">
        <f t="shared" si="1"/>
        <v/>
      </c>
      <c r="Q6" s="24" t="str">
        <f t="shared" si="1"/>
        <v>u</v>
      </c>
      <c r="R6" s="24" t="str">
        <f t="shared" si="1"/>
        <v/>
      </c>
      <c r="S6" s="24" t="str">
        <f t="shared" si="1"/>
        <v/>
      </c>
      <c r="T6" s="24" t="str">
        <f t="shared" si="1"/>
        <v/>
      </c>
      <c r="U6" s="24" t="str">
        <f t="shared" si="1"/>
        <v/>
      </c>
      <c r="V6" s="24" t="str">
        <f t="shared" si="1"/>
        <v/>
      </c>
      <c r="W6" s="24" t="str">
        <f t="shared" si="1"/>
        <v/>
      </c>
      <c r="X6" s="24" t="str">
        <f t="shared" si="1"/>
        <v/>
      </c>
      <c r="Y6" s="24" t="str">
        <f t="shared" si="1"/>
        <v/>
      </c>
      <c r="Z6" s="24" t="str">
        <f t="shared" si="1"/>
        <v/>
      </c>
      <c r="AA6" s="24" t="str">
        <f t="shared" si="1"/>
        <v/>
      </c>
      <c r="AB6" s="24" t="str">
        <f t="shared" si="1"/>
        <v/>
      </c>
    </row>
    <row r="7" spans="2:28" x14ac:dyDescent="0.2">
      <c r="B7" s="15">
        <v>2</v>
      </c>
      <c r="C7" s="31" t="s">
        <v>28</v>
      </c>
      <c r="D7" s="16" t="s">
        <v>27</v>
      </c>
      <c r="E7" s="17">
        <v>45690</v>
      </c>
      <c r="F7" s="17">
        <v>45702</v>
      </c>
      <c r="G7" s="18">
        <f t="shared" ref="G7:G21" si="2">IF(F7="","",NETWORKDAYS(E7,F7))</f>
        <v>10</v>
      </c>
      <c r="H7" s="11" t="s">
        <v>40</v>
      </c>
      <c r="I7" s="36">
        <v>1</v>
      </c>
      <c r="J7" s="11"/>
      <c r="K7" s="24" t="str">
        <f t="shared" ref="K7:Z30" si="3">IF(K$4=($F7-WEEKDAY($F7,2)+1),"u","")</f>
        <v/>
      </c>
      <c r="L7" s="24" t="str">
        <f t="shared" si="1"/>
        <v/>
      </c>
      <c r="M7" s="24" t="str">
        <f t="shared" si="1"/>
        <v/>
      </c>
      <c r="N7" s="24" t="str">
        <f t="shared" si="1"/>
        <v>u</v>
      </c>
      <c r="O7" s="24" t="str">
        <f t="shared" si="1"/>
        <v/>
      </c>
      <c r="P7" s="24" t="str">
        <f t="shared" si="1"/>
        <v/>
      </c>
      <c r="Q7" s="24" t="str">
        <f t="shared" si="1"/>
        <v/>
      </c>
      <c r="R7" s="24" t="str">
        <f t="shared" si="1"/>
        <v/>
      </c>
      <c r="S7" s="24" t="str">
        <f t="shared" si="1"/>
        <v/>
      </c>
      <c r="T7" s="24" t="str">
        <f t="shared" si="1"/>
        <v/>
      </c>
      <c r="U7" s="24" t="str">
        <f t="shared" si="1"/>
        <v/>
      </c>
      <c r="V7" s="24" t="str">
        <f t="shared" si="1"/>
        <v/>
      </c>
      <c r="W7" s="24" t="str">
        <f t="shared" si="1"/>
        <v/>
      </c>
      <c r="X7" s="24" t="str">
        <f t="shared" si="1"/>
        <v/>
      </c>
      <c r="Y7" s="24" t="str">
        <f t="shared" si="1"/>
        <v/>
      </c>
      <c r="Z7" s="24" t="str">
        <f t="shared" si="1"/>
        <v/>
      </c>
      <c r="AA7" s="24" t="str">
        <f t="shared" si="1"/>
        <v/>
      </c>
      <c r="AB7" s="24" t="str">
        <f t="shared" si="1"/>
        <v/>
      </c>
    </row>
    <row r="8" spans="2:28" x14ac:dyDescent="0.2">
      <c r="B8" s="15">
        <v>3</v>
      </c>
      <c r="C8" s="31" t="s">
        <v>14</v>
      </c>
      <c r="D8" s="16" t="s">
        <v>29</v>
      </c>
      <c r="E8" s="17">
        <v>45702</v>
      </c>
      <c r="F8" s="17">
        <v>45710</v>
      </c>
      <c r="G8" s="18">
        <f t="shared" si="2"/>
        <v>6</v>
      </c>
      <c r="H8" s="11" t="s">
        <v>43</v>
      </c>
      <c r="I8" s="36">
        <v>0.95</v>
      </c>
      <c r="J8" s="11"/>
      <c r="K8" s="24" t="str">
        <f t="shared" si="3"/>
        <v/>
      </c>
      <c r="L8" s="24" t="str">
        <f t="shared" si="1"/>
        <v/>
      </c>
      <c r="M8" s="24" t="str">
        <f t="shared" si="1"/>
        <v/>
      </c>
      <c r="N8" s="24" t="str">
        <f t="shared" si="1"/>
        <v/>
      </c>
      <c r="O8" s="24" t="str">
        <f t="shared" si="1"/>
        <v>u</v>
      </c>
      <c r="P8" s="24" t="str">
        <f t="shared" si="1"/>
        <v/>
      </c>
      <c r="Q8" s="24" t="str">
        <f t="shared" si="1"/>
        <v/>
      </c>
      <c r="R8" s="24" t="str">
        <f t="shared" si="1"/>
        <v/>
      </c>
      <c r="S8" s="24" t="str">
        <f t="shared" si="1"/>
        <v/>
      </c>
      <c r="T8" s="24" t="str">
        <f t="shared" si="1"/>
        <v/>
      </c>
      <c r="U8" s="24" t="str">
        <f t="shared" si="1"/>
        <v/>
      </c>
      <c r="V8" s="24" t="str">
        <f t="shared" si="1"/>
        <v/>
      </c>
      <c r="W8" s="24" t="str">
        <f t="shared" si="1"/>
        <v/>
      </c>
      <c r="X8" s="24" t="str">
        <f t="shared" si="1"/>
        <v/>
      </c>
      <c r="Y8" s="24" t="str">
        <f t="shared" si="1"/>
        <v/>
      </c>
      <c r="Z8" s="24" t="str">
        <f t="shared" si="1"/>
        <v/>
      </c>
      <c r="AA8" s="24" t="str">
        <f t="shared" si="1"/>
        <v/>
      </c>
      <c r="AB8" s="24" t="str">
        <f t="shared" si="1"/>
        <v/>
      </c>
    </row>
    <row r="9" spans="2:28" x14ac:dyDescent="0.2">
      <c r="B9" s="15">
        <v>3</v>
      </c>
      <c r="C9" s="31" t="s">
        <v>15</v>
      </c>
      <c r="D9" s="16" t="s">
        <v>30</v>
      </c>
      <c r="E9" s="17">
        <v>45711</v>
      </c>
      <c r="F9" s="17">
        <v>45716</v>
      </c>
      <c r="G9" s="18">
        <f t="shared" si="2"/>
        <v>5</v>
      </c>
      <c r="H9" s="11" t="s">
        <v>40</v>
      </c>
      <c r="I9" s="37">
        <v>1</v>
      </c>
      <c r="J9" s="11"/>
      <c r="K9" s="24" t="str">
        <f t="shared" si="3"/>
        <v/>
      </c>
      <c r="L9" s="24" t="str">
        <f t="shared" si="1"/>
        <v/>
      </c>
      <c r="M9" s="24" t="str">
        <f t="shared" si="1"/>
        <v/>
      </c>
      <c r="N9" s="24" t="str">
        <f t="shared" si="1"/>
        <v/>
      </c>
      <c r="O9" s="24" t="str">
        <f t="shared" si="1"/>
        <v/>
      </c>
      <c r="P9" s="24" t="str">
        <f t="shared" si="1"/>
        <v>u</v>
      </c>
      <c r="Q9" s="24" t="str">
        <f t="shared" si="1"/>
        <v/>
      </c>
      <c r="R9" s="24" t="str">
        <f t="shared" si="1"/>
        <v/>
      </c>
      <c r="S9" s="24" t="str">
        <f t="shared" si="1"/>
        <v/>
      </c>
      <c r="T9" s="24" t="str">
        <f t="shared" si="1"/>
        <v/>
      </c>
      <c r="U9" s="24" t="str">
        <f t="shared" si="1"/>
        <v/>
      </c>
      <c r="V9" s="24" t="str">
        <f t="shared" si="1"/>
        <v/>
      </c>
      <c r="W9" s="24" t="str">
        <f t="shared" si="1"/>
        <v/>
      </c>
      <c r="X9" s="24" t="str">
        <f t="shared" si="1"/>
        <v/>
      </c>
      <c r="Y9" s="24" t="str">
        <f t="shared" si="1"/>
        <v/>
      </c>
      <c r="Z9" s="24" t="str">
        <f t="shared" si="1"/>
        <v/>
      </c>
      <c r="AA9" s="24" t="str">
        <f t="shared" si="1"/>
        <v/>
      </c>
      <c r="AB9" s="24" t="str">
        <f t="shared" si="1"/>
        <v/>
      </c>
    </row>
    <row r="10" spans="2:28" x14ac:dyDescent="0.2">
      <c r="B10" s="15">
        <v>4</v>
      </c>
      <c r="C10" s="32" t="s">
        <v>16</v>
      </c>
      <c r="D10" s="16" t="s">
        <v>31</v>
      </c>
      <c r="E10" s="17">
        <v>45702</v>
      </c>
      <c r="F10" s="17">
        <v>45716</v>
      </c>
      <c r="G10" s="18">
        <f t="shared" si="2"/>
        <v>11</v>
      </c>
      <c r="H10" s="11" t="s">
        <v>40</v>
      </c>
      <c r="I10" s="36">
        <v>1</v>
      </c>
      <c r="J10" s="11"/>
      <c r="K10" s="24" t="str">
        <f t="shared" si="3"/>
        <v/>
      </c>
      <c r="L10" s="24" t="str">
        <f t="shared" si="1"/>
        <v/>
      </c>
      <c r="M10" s="24" t="str">
        <f t="shared" si="1"/>
        <v/>
      </c>
      <c r="N10" s="24" t="str">
        <f t="shared" si="1"/>
        <v/>
      </c>
      <c r="O10" s="24" t="str">
        <f t="shared" si="1"/>
        <v/>
      </c>
      <c r="P10" s="24" t="str">
        <f t="shared" si="1"/>
        <v>u</v>
      </c>
      <c r="Q10" s="24" t="str">
        <f t="shared" si="1"/>
        <v/>
      </c>
      <c r="R10" s="24" t="str">
        <f t="shared" si="1"/>
        <v/>
      </c>
      <c r="S10" s="24" t="str">
        <f t="shared" si="1"/>
        <v/>
      </c>
      <c r="T10" s="24" t="str">
        <f t="shared" si="1"/>
        <v/>
      </c>
      <c r="U10" s="24" t="str">
        <f t="shared" si="1"/>
        <v/>
      </c>
      <c r="V10" s="24" t="str">
        <f t="shared" si="1"/>
        <v/>
      </c>
      <c r="W10" s="24" t="str">
        <f t="shared" si="1"/>
        <v/>
      </c>
      <c r="X10" s="24" t="str">
        <f t="shared" si="1"/>
        <v/>
      </c>
      <c r="Y10" s="24" t="str">
        <f t="shared" si="1"/>
        <v/>
      </c>
      <c r="Z10" s="24" t="str">
        <f t="shared" si="1"/>
        <v/>
      </c>
      <c r="AA10" s="24" t="str">
        <f t="shared" si="1"/>
        <v/>
      </c>
      <c r="AB10" s="24" t="str">
        <f t="shared" si="1"/>
        <v/>
      </c>
    </row>
    <row r="11" spans="2:28" x14ac:dyDescent="0.2">
      <c r="B11" s="15">
        <v>5</v>
      </c>
      <c r="C11" s="32" t="s">
        <v>17</v>
      </c>
      <c r="D11" s="16" t="s">
        <v>27</v>
      </c>
      <c r="E11" s="17">
        <v>45715</v>
      </c>
      <c r="F11" s="17">
        <v>45716</v>
      </c>
      <c r="G11" s="18">
        <f t="shared" si="2"/>
        <v>2</v>
      </c>
      <c r="H11" s="11" t="s">
        <v>43</v>
      </c>
      <c r="I11" s="37">
        <v>0.5</v>
      </c>
      <c r="J11" s="11"/>
      <c r="K11" s="24" t="str">
        <f t="shared" si="3"/>
        <v/>
      </c>
      <c r="L11" s="24" t="str">
        <f t="shared" si="1"/>
        <v/>
      </c>
      <c r="M11" s="24" t="str">
        <f t="shared" si="1"/>
        <v/>
      </c>
      <c r="N11" s="24" t="str">
        <f t="shared" si="1"/>
        <v/>
      </c>
      <c r="O11" s="24" t="str">
        <f t="shared" si="1"/>
        <v/>
      </c>
      <c r="P11" s="24" t="str">
        <f t="shared" si="1"/>
        <v>u</v>
      </c>
      <c r="Q11" s="24" t="str">
        <f t="shared" si="1"/>
        <v/>
      </c>
      <c r="R11" s="24" t="str">
        <f t="shared" si="1"/>
        <v/>
      </c>
      <c r="S11" s="24" t="str">
        <f t="shared" si="1"/>
        <v/>
      </c>
      <c r="T11" s="24" t="str">
        <f t="shared" si="1"/>
        <v/>
      </c>
      <c r="U11" s="24" t="str">
        <f t="shared" si="1"/>
        <v/>
      </c>
      <c r="V11" s="24" t="str">
        <f t="shared" si="1"/>
        <v/>
      </c>
      <c r="W11" s="24" t="str">
        <f t="shared" si="1"/>
        <v/>
      </c>
      <c r="X11" s="24" t="str">
        <f t="shared" si="1"/>
        <v/>
      </c>
      <c r="Y11" s="24" t="str">
        <f t="shared" si="1"/>
        <v/>
      </c>
      <c r="Z11" s="24" t="str">
        <f t="shared" si="1"/>
        <v/>
      </c>
      <c r="AA11" s="24" t="str">
        <f t="shared" si="1"/>
        <v/>
      </c>
      <c r="AB11" s="24" t="str">
        <f t="shared" si="1"/>
        <v/>
      </c>
    </row>
    <row r="12" spans="2:28" x14ac:dyDescent="0.2">
      <c r="B12" s="15">
        <v>6</v>
      </c>
      <c r="C12" s="32" t="s">
        <v>18</v>
      </c>
      <c r="D12" s="16" t="s">
        <v>32</v>
      </c>
      <c r="E12" s="17">
        <v>45716</v>
      </c>
      <c r="F12" s="17">
        <v>45730</v>
      </c>
      <c r="G12" s="18">
        <f t="shared" si="2"/>
        <v>11</v>
      </c>
      <c r="H12" s="11" t="s">
        <v>43</v>
      </c>
      <c r="I12" s="36">
        <v>0.25</v>
      </c>
      <c r="J12" s="11"/>
      <c r="K12" s="24" t="str">
        <f t="shared" si="3"/>
        <v/>
      </c>
      <c r="L12" s="24" t="str">
        <f t="shared" si="1"/>
        <v/>
      </c>
      <c r="M12" s="24" t="str">
        <f t="shared" si="1"/>
        <v/>
      </c>
      <c r="N12" s="24" t="str">
        <f t="shared" si="1"/>
        <v/>
      </c>
      <c r="O12" s="24" t="str">
        <f t="shared" si="1"/>
        <v/>
      </c>
      <c r="P12" s="24" t="str">
        <f t="shared" si="1"/>
        <v/>
      </c>
      <c r="Q12" s="24" t="str">
        <f t="shared" si="1"/>
        <v/>
      </c>
      <c r="R12" s="24" t="str">
        <f t="shared" si="1"/>
        <v>u</v>
      </c>
      <c r="S12" s="24" t="str">
        <f t="shared" si="1"/>
        <v/>
      </c>
      <c r="T12" s="24" t="str">
        <f t="shared" si="1"/>
        <v/>
      </c>
      <c r="U12" s="24" t="str">
        <f t="shared" si="1"/>
        <v/>
      </c>
      <c r="V12" s="24" t="str">
        <f t="shared" si="1"/>
        <v/>
      </c>
      <c r="W12" s="24" t="str">
        <f t="shared" si="1"/>
        <v/>
      </c>
      <c r="X12" s="24" t="str">
        <f t="shared" si="1"/>
        <v/>
      </c>
      <c r="Y12" s="24" t="str">
        <f t="shared" si="1"/>
        <v/>
      </c>
      <c r="Z12" s="24" t="str">
        <f t="shared" si="1"/>
        <v/>
      </c>
      <c r="AA12" s="24" t="str">
        <f t="shared" si="1"/>
        <v/>
      </c>
      <c r="AB12" s="24" t="str">
        <f t="shared" si="1"/>
        <v/>
      </c>
    </row>
    <row r="13" spans="2:28" x14ac:dyDescent="0.2">
      <c r="B13" s="15">
        <v>7</v>
      </c>
      <c r="C13" s="32" t="s">
        <v>19</v>
      </c>
      <c r="D13" s="16" t="s">
        <v>33</v>
      </c>
      <c r="E13" s="17">
        <v>45716</v>
      </c>
      <c r="F13" s="17">
        <v>45736</v>
      </c>
      <c r="G13" s="18">
        <f t="shared" si="2"/>
        <v>15</v>
      </c>
      <c r="H13" s="11" t="s">
        <v>43</v>
      </c>
      <c r="I13" s="36">
        <v>0.2</v>
      </c>
      <c r="J13" s="11"/>
      <c r="K13" s="24" t="str">
        <f t="shared" si="3"/>
        <v/>
      </c>
      <c r="L13" s="24" t="str">
        <f t="shared" si="1"/>
        <v/>
      </c>
      <c r="M13" s="24" t="str">
        <f t="shared" si="1"/>
        <v/>
      </c>
      <c r="N13" s="24" t="str">
        <f t="shared" si="1"/>
        <v/>
      </c>
      <c r="O13" s="24" t="str">
        <f t="shared" si="1"/>
        <v/>
      </c>
      <c r="P13" s="24" t="str">
        <f t="shared" si="1"/>
        <v/>
      </c>
      <c r="Q13" s="24" t="str">
        <f t="shared" si="1"/>
        <v/>
      </c>
      <c r="R13" s="24" t="str">
        <f t="shared" si="1"/>
        <v/>
      </c>
      <c r="S13" s="24" t="str">
        <f t="shared" si="1"/>
        <v>u</v>
      </c>
      <c r="T13" s="24" t="str">
        <f t="shared" si="1"/>
        <v/>
      </c>
      <c r="U13" s="24" t="str">
        <f t="shared" si="1"/>
        <v/>
      </c>
      <c r="V13" s="24" t="str">
        <f t="shared" si="1"/>
        <v/>
      </c>
      <c r="W13" s="24" t="str">
        <f t="shared" si="1"/>
        <v/>
      </c>
      <c r="X13" s="24" t="str">
        <f t="shared" si="1"/>
        <v/>
      </c>
      <c r="Y13" s="24" t="str">
        <f t="shared" si="1"/>
        <v/>
      </c>
      <c r="Z13" s="24" t="str">
        <f t="shared" si="1"/>
        <v/>
      </c>
      <c r="AA13" s="24" t="str">
        <f t="shared" si="1"/>
        <v/>
      </c>
      <c r="AB13" s="24" t="str">
        <f t="shared" si="1"/>
        <v/>
      </c>
    </row>
    <row r="14" spans="2:28" x14ac:dyDescent="0.2">
      <c r="B14" s="15">
        <v>8</v>
      </c>
      <c r="C14" s="32" t="s">
        <v>20</v>
      </c>
      <c r="D14" s="16" t="s">
        <v>34</v>
      </c>
      <c r="E14" s="17">
        <v>45726</v>
      </c>
      <c r="F14" s="17">
        <v>45741</v>
      </c>
      <c r="G14" s="18">
        <f t="shared" si="2"/>
        <v>12</v>
      </c>
      <c r="H14" s="11" t="s">
        <v>41</v>
      </c>
      <c r="I14" s="36">
        <v>0</v>
      </c>
      <c r="J14" s="11"/>
      <c r="K14" s="24" t="str">
        <f t="shared" si="3"/>
        <v/>
      </c>
      <c r="L14" s="24" t="str">
        <f t="shared" si="1"/>
        <v/>
      </c>
      <c r="M14" s="24" t="str">
        <f t="shared" si="1"/>
        <v/>
      </c>
      <c r="N14" s="24" t="str">
        <f t="shared" si="1"/>
        <v/>
      </c>
      <c r="O14" s="24" t="str">
        <f t="shared" si="1"/>
        <v/>
      </c>
      <c r="P14" s="24" t="str">
        <f t="shared" si="1"/>
        <v/>
      </c>
      <c r="Q14" s="24" t="str">
        <f t="shared" si="1"/>
        <v/>
      </c>
      <c r="R14" s="24" t="str">
        <f t="shared" si="1"/>
        <v/>
      </c>
      <c r="S14" s="24" t="str">
        <f t="shared" si="1"/>
        <v/>
      </c>
      <c r="T14" s="24" t="str">
        <f t="shared" si="1"/>
        <v>u</v>
      </c>
      <c r="U14" s="24" t="str">
        <f t="shared" si="1"/>
        <v/>
      </c>
      <c r="V14" s="24" t="str">
        <f t="shared" si="1"/>
        <v/>
      </c>
      <c r="W14" s="24" t="str">
        <f t="shared" si="1"/>
        <v/>
      </c>
      <c r="X14" s="24" t="str">
        <f t="shared" si="1"/>
        <v/>
      </c>
      <c r="Y14" s="24" t="str">
        <f t="shared" si="1"/>
        <v/>
      </c>
      <c r="Z14" s="24" t="str">
        <f t="shared" si="1"/>
        <v/>
      </c>
      <c r="AA14" s="24" t="str">
        <f t="shared" si="1"/>
        <v/>
      </c>
      <c r="AB14" s="24" t="str">
        <f t="shared" si="1"/>
        <v/>
      </c>
    </row>
    <row r="15" spans="2:28" x14ac:dyDescent="0.2">
      <c r="B15" s="15">
        <v>9</v>
      </c>
      <c r="C15" s="33" t="s">
        <v>21</v>
      </c>
      <c r="D15" s="16" t="s">
        <v>35</v>
      </c>
      <c r="E15" s="17">
        <v>45741</v>
      </c>
      <c r="F15" s="17">
        <v>45744</v>
      </c>
      <c r="G15" s="18">
        <f t="shared" si="2"/>
        <v>4</v>
      </c>
      <c r="H15" s="11" t="s">
        <v>41</v>
      </c>
      <c r="I15" s="36">
        <v>0</v>
      </c>
      <c r="J15" s="11"/>
      <c r="K15" s="24" t="str">
        <f t="shared" si="3"/>
        <v/>
      </c>
      <c r="L15" s="24" t="str">
        <f t="shared" si="1"/>
        <v/>
      </c>
      <c r="M15" s="24" t="str">
        <f t="shared" si="1"/>
        <v/>
      </c>
      <c r="N15" s="24" t="str">
        <f t="shared" si="1"/>
        <v/>
      </c>
      <c r="O15" s="24" t="str">
        <f t="shared" si="1"/>
        <v/>
      </c>
      <c r="P15" s="24" t="str">
        <f t="shared" si="1"/>
        <v/>
      </c>
      <c r="Q15" s="24" t="str">
        <f t="shared" si="1"/>
        <v/>
      </c>
      <c r="R15" s="24" t="str">
        <f t="shared" si="1"/>
        <v/>
      </c>
      <c r="S15" s="24" t="str">
        <f t="shared" si="1"/>
        <v/>
      </c>
      <c r="T15" s="24" t="str">
        <f t="shared" si="1"/>
        <v>u</v>
      </c>
      <c r="U15" s="24" t="str">
        <f t="shared" si="1"/>
        <v/>
      </c>
      <c r="V15" s="24" t="str">
        <f t="shared" si="1"/>
        <v/>
      </c>
      <c r="W15" s="24" t="str">
        <f t="shared" si="1"/>
        <v/>
      </c>
      <c r="X15" s="24" t="str">
        <f t="shared" si="1"/>
        <v/>
      </c>
      <c r="Y15" s="24" t="str">
        <f t="shared" si="1"/>
        <v/>
      </c>
      <c r="Z15" s="24" t="str">
        <f t="shared" si="1"/>
        <v/>
      </c>
      <c r="AA15" s="24" t="str">
        <f t="shared" si="1"/>
        <v/>
      </c>
      <c r="AB15" s="24" t="str">
        <f t="shared" si="1"/>
        <v/>
      </c>
    </row>
    <row r="16" spans="2:28" x14ac:dyDescent="0.2">
      <c r="B16" s="15">
        <v>10</v>
      </c>
      <c r="C16" s="33" t="s">
        <v>22</v>
      </c>
      <c r="D16" s="16" t="s">
        <v>36</v>
      </c>
      <c r="E16" s="17">
        <v>45717</v>
      </c>
      <c r="F16" s="17">
        <v>45754</v>
      </c>
      <c r="G16" s="18">
        <f t="shared" si="2"/>
        <v>26</v>
      </c>
      <c r="H16" s="11" t="s">
        <v>41</v>
      </c>
      <c r="I16" s="36">
        <v>0</v>
      </c>
      <c r="J16" s="11"/>
      <c r="K16" s="24" t="str">
        <f t="shared" si="3"/>
        <v/>
      </c>
      <c r="L16" s="24" t="str">
        <f t="shared" si="1"/>
        <v/>
      </c>
      <c r="M16" s="24" t="str">
        <f t="shared" si="1"/>
        <v/>
      </c>
      <c r="N16" s="24" t="str">
        <f t="shared" si="1"/>
        <v/>
      </c>
      <c r="O16" s="24" t="str">
        <f t="shared" si="1"/>
        <v/>
      </c>
      <c r="P16" s="24" t="str">
        <f t="shared" si="1"/>
        <v/>
      </c>
      <c r="Q16" s="24" t="str">
        <f t="shared" si="1"/>
        <v/>
      </c>
      <c r="R16" s="24" t="str">
        <f t="shared" si="1"/>
        <v/>
      </c>
      <c r="S16" s="24" t="str">
        <f t="shared" si="1"/>
        <v/>
      </c>
      <c r="T16" s="24" t="str">
        <f t="shared" si="1"/>
        <v/>
      </c>
      <c r="U16" s="24" t="str">
        <f t="shared" si="1"/>
        <v/>
      </c>
      <c r="V16" s="24" t="str">
        <f t="shared" si="1"/>
        <v>u</v>
      </c>
      <c r="W16" s="24" t="str">
        <f t="shared" si="1"/>
        <v/>
      </c>
      <c r="X16" s="24" t="str">
        <f t="shared" si="1"/>
        <v/>
      </c>
      <c r="Y16" s="24" t="str">
        <f t="shared" si="1"/>
        <v/>
      </c>
      <c r="Z16" s="24" t="str">
        <f t="shared" si="1"/>
        <v/>
      </c>
      <c r="AA16" s="24" t="str">
        <f t="shared" si="1"/>
        <v/>
      </c>
      <c r="AB16" s="24" t="str">
        <f t="shared" si="1"/>
        <v/>
      </c>
    </row>
    <row r="17" spans="2:28" x14ac:dyDescent="0.2">
      <c r="B17" s="15">
        <v>11</v>
      </c>
      <c r="C17" s="33" t="s">
        <v>23</v>
      </c>
      <c r="D17" s="16" t="s">
        <v>37</v>
      </c>
      <c r="E17" s="17">
        <v>45726</v>
      </c>
      <c r="F17" s="17">
        <v>45757</v>
      </c>
      <c r="G17" s="18">
        <f t="shared" si="2"/>
        <v>24</v>
      </c>
      <c r="H17" s="11" t="s">
        <v>41</v>
      </c>
      <c r="I17" s="36">
        <v>0</v>
      </c>
      <c r="J17" s="11"/>
      <c r="K17" s="24" t="str">
        <f t="shared" si="3"/>
        <v/>
      </c>
      <c r="L17" s="24" t="str">
        <f t="shared" si="1"/>
        <v/>
      </c>
      <c r="M17" s="24" t="str">
        <f t="shared" si="1"/>
        <v/>
      </c>
      <c r="N17" s="24" t="str">
        <f t="shared" si="1"/>
        <v/>
      </c>
      <c r="O17" s="24" t="str">
        <f t="shared" si="1"/>
        <v/>
      </c>
      <c r="P17" s="24" t="str">
        <f t="shared" si="1"/>
        <v/>
      </c>
      <c r="Q17" s="24" t="str">
        <f t="shared" si="1"/>
        <v/>
      </c>
      <c r="R17" s="24" t="str">
        <f t="shared" si="1"/>
        <v/>
      </c>
      <c r="S17" s="24" t="str">
        <f t="shared" si="1"/>
        <v/>
      </c>
      <c r="T17" s="24" t="str">
        <f t="shared" si="1"/>
        <v/>
      </c>
      <c r="U17" s="24" t="str">
        <f t="shared" si="1"/>
        <v/>
      </c>
      <c r="V17" s="24" t="str">
        <f t="shared" si="1"/>
        <v>u</v>
      </c>
      <c r="W17" s="24" t="str">
        <f t="shared" si="1"/>
        <v/>
      </c>
      <c r="X17" s="24" t="str">
        <f t="shared" si="1"/>
        <v/>
      </c>
      <c r="Y17" s="24" t="str">
        <f t="shared" si="1"/>
        <v/>
      </c>
      <c r="Z17" s="24" t="str">
        <f t="shared" si="1"/>
        <v/>
      </c>
      <c r="AA17" s="24" t="str">
        <f t="shared" si="1"/>
        <v/>
      </c>
      <c r="AB17" s="24" t="str">
        <f t="shared" si="1"/>
        <v/>
      </c>
    </row>
    <row r="18" spans="2:28" x14ac:dyDescent="0.2">
      <c r="B18" s="15">
        <v>12</v>
      </c>
      <c r="C18" s="33" t="s">
        <v>24</v>
      </c>
      <c r="D18" s="16" t="s">
        <v>38</v>
      </c>
      <c r="E18" s="17">
        <v>45752</v>
      </c>
      <c r="F18" s="17">
        <v>45767</v>
      </c>
      <c r="G18" s="18">
        <f t="shared" si="2"/>
        <v>10</v>
      </c>
      <c r="H18" s="11" t="s">
        <v>41</v>
      </c>
      <c r="I18" s="36">
        <v>0</v>
      </c>
      <c r="J18" s="11"/>
      <c r="K18" s="24" t="str">
        <f t="shared" si="3"/>
        <v/>
      </c>
      <c r="L18" s="24" t="str">
        <f t="shared" si="1"/>
        <v/>
      </c>
      <c r="M18" s="24" t="str">
        <f t="shared" si="1"/>
        <v/>
      </c>
      <c r="N18" s="24" t="str">
        <f t="shared" si="1"/>
        <v/>
      </c>
      <c r="O18" s="24" t="str">
        <f t="shared" si="1"/>
        <v/>
      </c>
      <c r="P18" s="24" t="str">
        <f t="shared" si="1"/>
        <v/>
      </c>
      <c r="Q18" s="24" t="str">
        <f t="shared" si="1"/>
        <v/>
      </c>
      <c r="R18" s="24" t="str">
        <f t="shared" si="1"/>
        <v/>
      </c>
      <c r="S18" s="24" t="str">
        <f t="shared" si="1"/>
        <v/>
      </c>
      <c r="T18" s="24" t="str">
        <f t="shared" si="1"/>
        <v/>
      </c>
      <c r="U18" s="24" t="str">
        <f t="shared" si="1"/>
        <v/>
      </c>
      <c r="V18" s="24" t="str">
        <f t="shared" si="1"/>
        <v/>
      </c>
      <c r="W18" s="24" t="str">
        <f t="shared" si="1"/>
        <v>u</v>
      </c>
      <c r="X18" s="24" t="str">
        <f t="shared" si="1"/>
        <v/>
      </c>
      <c r="Y18" s="24" t="str">
        <f t="shared" si="1"/>
        <v/>
      </c>
      <c r="Z18" s="24" t="str">
        <f t="shared" si="1"/>
        <v/>
      </c>
      <c r="AA18" s="24" t="str">
        <f t="shared" si="1"/>
        <v/>
      </c>
      <c r="AB18" s="24" t="str">
        <f t="shared" si="1"/>
        <v/>
      </c>
    </row>
    <row r="19" spans="2:28" x14ac:dyDescent="0.2">
      <c r="B19" s="15">
        <v>13</v>
      </c>
      <c r="C19" s="33" t="s">
        <v>25</v>
      </c>
      <c r="D19" s="16" t="s">
        <v>39</v>
      </c>
      <c r="E19" s="17">
        <v>45721</v>
      </c>
      <c r="F19" s="17">
        <v>45767</v>
      </c>
      <c r="G19" s="18">
        <f t="shared" si="2"/>
        <v>33</v>
      </c>
      <c r="H19" t="s">
        <v>41</v>
      </c>
      <c r="I19" s="37">
        <v>0</v>
      </c>
      <c r="J19" s="11"/>
      <c r="K19" s="24" t="str">
        <f t="shared" si="3"/>
        <v/>
      </c>
      <c r="L19" s="24" t="str">
        <f t="shared" si="1"/>
        <v/>
      </c>
      <c r="M19" s="24" t="str">
        <f t="shared" si="1"/>
        <v/>
      </c>
      <c r="N19" s="24" t="str">
        <f t="shared" si="1"/>
        <v/>
      </c>
      <c r="O19" s="24" t="str">
        <f t="shared" si="1"/>
        <v/>
      </c>
      <c r="P19" s="24" t="str">
        <f t="shared" si="1"/>
        <v/>
      </c>
      <c r="Q19" s="24" t="str">
        <f t="shared" si="1"/>
        <v/>
      </c>
      <c r="R19" s="24" t="str">
        <f t="shared" si="1"/>
        <v/>
      </c>
      <c r="S19" s="24" t="str">
        <f t="shared" si="1"/>
        <v/>
      </c>
      <c r="T19" s="24" t="str">
        <f t="shared" si="1"/>
        <v/>
      </c>
      <c r="U19" s="24" t="str">
        <f t="shared" si="1"/>
        <v/>
      </c>
      <c r="V19" s="24" t="str">
        <f t="shared" si="1"/>
        <v/>
      </c>
      <c r="W19" s="24" t="str">
        <f t="shared" si="1"/>
        <v>u</v>
      </c>
      <c r="X19" s="24" t="str">
        <f t="shared" si="1"/>
        <v/>
      </c>
      <c r="Y19" s="24" t="str">
        <f t="shared" si="1"/>
        <v/>
      </c>
      <c r="Z19" s="24" t="str">
        <f t="shared" si="1"/>
        <v/>
      </c>
      <c r="AA19" s="24" t="str">
        <f t="shared" si="1"/>
        <v/>
      </c>
      <c r="AB19" s="24" t="str">
        <f t="shared" si="1"/>
        <v/>
      </c>
    </row>
    <row r="20" spans="2:28" x14ac:dyDescent="0.2">
      <c r="B20" s="15">
        <v>14</v>
      </c>
      <c r="C20" s="33" t="s">
        <v>26</v>
      </c>
      <c r="D20" s="16" t="s">
        <v>27</v>
      </c>
      <c r="E20" s="17">
        <v>45767</v>
      </c>
      <c r="F20" s="17">
        <v>45772</v>
      </c>
      <c r="G20" s="18">
        <f t="shared" si="2"/>
        <v>5</v>
      </c>
      <c r="H20" s="11" t="s">
        <v>41</v>
      </c>
      <c r="I20" s="36">
        <v>0</v>
      </c>
      <c r="J20" s="11"/>
      <c r="K20" s="24" t="str">
        <f t="shared" si="3"/>
        <v/>
      </c>
      <c r="L20" s="24" t="str">
        <f t="shared" si="1"/>
        <v/>
      </c>
      <c r="M20" s="24" t="str">
        <f t="shared" si="1"/>
        <v/>
      </c>
      <c r="N20" s="24" t="str">
        <f t="shared" si="1"/>
        <v/>
      </c>
      <c r="O20" s="24" t="str">
        <f t="shared" si="1"/>
        <v/>
      </c>
      <c r="P20" s="24" t="str">
        <f t="shared" si="1"/>
        <v/>
      </c>
      <c r="Q20" s="24" t="str">
        <f t="shared" si="1"/>
        <v/>
      </c>
      <c r="R20" s="24" t="str">
        <f t="shared" si="1"/>
        <v/>
      </c>
      <c r="S20" s="24" t="str">
        <f t="shared" si="1"/>
        <v/>
      </c>
      <c r="T20" s="24" t="str">
        <f t="shared" si="1"/>
        <v/>
      </c>
      <c r="U20" s="24" t="str">
        <f t="shared" si="1"/>
        <v/>
      </c>
      <c r="V20" s="24" t="str">
        <f t="shared" si="1"/>
        <v/>
      </c>
      <c r="W20" s="24" t="str">
        <f t="shared" si="1"/>
        <v/>
      </c>
      <c r="X20" s="24" t="str">
        <f t="shared" si="1"/>
        <v>u</v>
      </c>
      <c r="Y20" s="24" t="str">
        <f t="shared" si="1"/>
        <v/>
      </c>
      <c r="Z20" s="24" t="str">
        <f t="shared" si="1"/>
        <v/>
      </c>
      <c r="AA20" s="24" t="str">
        <f t="shared" si="1"/>
        <v/>
      </c>
      <c r="AB20" s="24" t="str">
        <f t="shared" si="1"/>
        <v/>
      </c>
    </row>
    <row r="21" spans="2:28" x14ac:dyDescent="0.2">
      <c r="B21" s="15">
        <v>15</v>
      </c>
      <c r="C21" s="34" t="s">
        <v>13</v>
      </c>
      <c r="D21" s="16" t="s">
        <v>27</v>
      </c>
      <c r="E21" s="17">
        <v>45716</v>
      </c>
      <c r="F21" s="17">
        <v>45782</v>
      </c>
      <c r="G21" s="18">
        <f t="shared" si="2"/>
        <v>47</v>
      </c>
      <c r="H21" s="11" t="s">
        <v>41</v>
      </c>
      <c r="I21" s="36">
        <v>0</v>
      </c>
      <c r="J21" s="11"/>
      <c r="K21" s="24" t="str">
        <f t="shared" si="3"/>
        <v/>
      </c>
      <c r="L21" s="24" t="str">
        <f t="shared" si="3"/>
        <v/>
      </c>
      <c r="M21" s="24" t="str">
        <f t="shared" si="3"/>
        <v/>
      </c>
      <c r="N21" s="24" t="str">
        <f t="shared" si="3"/>
        <v/>
      </c>
      <c r="O21" s="24" t="str">
        <f t="shared" si="3"/>
        <v/>
      </c>
      <c r="P21" s="24" t="str">
        <f t="shared" si="3"/>
        <v/>
      </c>
      <c r="Q21" s="24" t="str">
        <f t="shared" si="3"/>
        <v/>
      </c>
      <c r="R21" s="24" t="str">
        <f t="shared" si="3"/>
        <v/>
      </c>
      <c r="S21" s="24" t="str">
        <f t="shared" si="3"/>
        <v/>
      </c>
      <c r="T21" s="24" t="str">
        <f t="shared" si="3"/>
        <v/>
      </c>
      <c r="U21" s="24" t="str">
        <f t="shared" si="3"/>
        <v/>
      </c>
      <c r="V21" s="24" t="str">
        <f t="shared" si="3"/>
        <v/>
      </c>
      <c r="W21" s="24" t="str">
        <f t="shared" si="3"/>
        <v/>
      </c>
      <c r="X21" s="24" t="str">
        <f t="shared" si="3"/>
        <v/>
      </c>
      <c r="Y21" s="24" t="str">
        <f t="shared" si="3"/>
        <v/>
      </c>
      <c r="Z21" s="24" t="str">
        <f t="shared" si="3"/>
        <v>u</v>
      </c>
      <c r="AA21" s="24" t="str">
        <f t="shared" ref="AA21:AB30" si="4">IF(AA$4=($F21-WEEKDAY($F21,2)+1),"u","")</f>
        <v/>
      </c>
      <c r="AB21" s="24" t="str">
        <f t="shared" si="4"/>
        <v/>
      </c>
    </row>
    <row r="22" spans="2:28" x14ac:dyDescent="0.2">
      <c r="B22" s="11"/>
      <c r="C22" s="13"/>
      <c r="D22" s="11"/>
      <c r="E22" s="11"/>
      <c r="F22" s="11"/>
      <c r="G22" s="11"/>
      <c r="H22" s="11"/>
      <c r="I22" s="11"/>
      <c r="J22" s="11"/>
      <c r="K22" s="24" t="str">
        <f t="shared" si="3"/>
        <v/>
      </c>
      <c r="L22" s="24" t="str">
        <f t="shared" si="3"/>
        <v/>
      </c>
      <c r="M22" s="24" t="str">
        <f t="shared" si="3"/>
        <v/>
      </c>
      <c r="N22" s="24" t="str">
        <f t="shared" si="3"/>
        <v/>
      </c>
      <c r="O22" s="24" t="str">
        <f t="shared" si="3"/>
        <v/>
      </c>
      <c r="P22" s="24" t="str">
        <f t="shared" si="3"/>
        <v/>
      </c>
      <c r="Q22" s="24" t="str">
        <f t="shared" si="3"/>
        <v/>
      </c>
      <c r="R22" s="24" t="str">
        <f t="shared" si="3"/>
        <v/>
      </c>
      <c r="S22" s="24" t="str">
        <f t="shared" si="3"/>
        <v/>
      </c>
      <c r="T22" s="24" t="str">
        <f t="shared" si="3"/>
        <v/>
      </c>
      <c r="U22" s="24" t="str">
        <f t="shared" si="3"/>
        <v/>
      </c>
      <c r="V22" s="24" t="str">
        <f t="shared" si="3"/>
        <v/>
      </c>
      <c r="W22" s="24" t="str">
        <f t="shared" si="3"/>
        <v/>
      </c>
      <c r="X22" s="24" t="str">
        <f t="shared" si="3"/>
        <v/>
      </c>
      <c r="Y22" s="24" t="str">
        <f t="shared" si="3"/>
        <v/>
      </c>
      <c r="Z22" s="24" t="str">
        <f t="shared" si="3"/>
        <v/>
      </c>
      <c r="AA22" s="24" t="str">
        <f t="shared" si="4"/>
        <v/>
      </c>
      <c r="AB22" s="24" t="str">
        <f t="shared" si="4"/>
        <v/>
      </c>
    </row>
    <row r="23" spans="2:28" x14ac:dyDescent="0.2">
      <c r="B23" s="11"/>
      <c r="C23" s="13"/>
      <c r="D23" s="11"/>
      <c r="E23" s="11"/>
      <c r="F23" s="11"/>
      <c r="G23" s="11"/>
      <c r="H23" s="11"/>
      <c r="I23" s="11"/>
      <c r="J23" s="11"/>
      <c r="K23" s="24" t="str">
        <f t="shared" si="3"/>
        <v/>
      </c>
      <c r="L23" s="24" t="str">
        <f t="shared" si="3"/>
        <v/>
      </c>
      <c r="M23" s="24" t="str">
        <f t="shared" si="3"/>
        <v/>
      </c>
      <c r="N23" s="24" t="str">
        <f t="shared" si="3"/>
        <v/>
      </c>
      <c r="O23" s="24" t="str">
        <f t="shared" si="3"/>
        <v/>
      </c>
      <c r="P23" s="24" t="str">
        <f t="shared" si="3"/>
        <v/>
      </c>
      <c r="Q23" s="24" t="str">
        <f t="shared" si="3"/>
        <v/>
      </c>
      <c r="R23" s="24" t="str">
        <f t="shared" si="3"/>
        <v/>
      </c>
      <c r="S23" s="24" t="str">
        <f t="shared" si="3"/>
        <v/>
      </c>
      <c r="T23" s="24" t="str">
        <f t="shared" si="3"/>
        <v/>
      </c>
      <c r="U23" s="24" t="str">
        <f t="shared" si="3"/>
        <v/>
      </c>
      <c r="V23" s="24" t="str">
        <f t="shared" si="3"/>
        <v/>
      </c>
      <c r="W23" s="24" t="str">
        <f t="shared" si="3"/>
        <v/>
      </c>
      <c r="X23" s="24" t="str">
        <f t="shared" si="3"/>
        <v/>
      </c>
      <c r="Y23" s="24" t="str">
        <f t="shared" si="3"/>
        <v/>
      </c>
      <c r="Z23" s="24" t="str">
        <f t="shared" si="3"/>
        <v/>
      </c>
      <c r="AA23" s="24" t="str">
        <f t="shared" si="4"/>
        <v/>
      </c>
      <c r="AB23" s="24" t="str">
        <f t="shared" si="4"/>
        <v/>
      </c>
    </row>
    <row r="24" spans="2:28" x14ac:dyDescent="0.2">
      <c r="B24" s="11"/>
      <c r="C24" s="13"/>
      <c r="D24" s="11"/>
      <c r="E24" s="11"/>
      <c r="F24" s="11"/>
      <c r="G24" s="11"/>
      <c r="H24" s="11"/>
      <c r="I24" s="11"/>
      <c r="J24" s="11"/>
      <c r="K24" s="24" t="str">
        <f t="shared" si="3"/>
        <v/>
      </c>
      <c r="L24" s="24" t="str">
        <f t="shared" si="3"/>
        <v/>
      </c>
      <c r="M24" s="24" t="str">
        <f t="shared" si="3"/>
        <v/>
      </c>
      <c r="N24" s="24" t="str">
        <f t="shared" si="3"/>
        <v/>
      </c>
      <c r="O24" s="24" t="str">
        <f t="shared" si="3"/>
        <v/>
      </c>
      <c r="P24" s="24" t="str">
        <f t="shared" si="3"/>
        <v/>
      </c>
      <c r="Q24" s="24" t="str">
        <f t="shared" si="3"/>
        <v/>
      </c>
      <c r="R24" s="24" t="str">
        <f t="shared" si="3"/>
        <v/>
      </c>
      <c r="S24" s="24" t="str">
        <f t="shared" si="3"/>
        <v/>
      </c>
      <c r="T24" s="24" t="str">
        <f t="shared" si="3"/>
        <v/>
      </c>
      <c r="U24" s="24" t="str">
        <f t="shared" si="3"/>
        <v/>
      </c>
      <c r="V24" s="24" t="str">
        <f t="shared" si="3"/>
        <v/>
      </c>
      <c r="W24" s="24" t="str">
        <f t="shared" si="3"/>
        <v/>
      </c>
      <c r="X24" s="24" t="str">
        <f t="shared" si="3"/>
        <v/>
      </c>
      <c r="Y24" s="24" t="str">
        <f t="shared" si="3"/>
        <v/>
      </c>
      <c r="Z24" s="24" t="str">
        <f t="shared" si="3"/>
        <v/>
      </c>
      <c r="AA24" s="24" t="str">
        <f t="shared" si="4"/>
        <v/>
      </c>
      <c r="AB24" s="24" t="str">
        <f t="shared" si="4"/>
        <v/>
      </c>
    </row>
    <row r="25" spans="2:28" x14ac:dyDescent="0.2">
      <c r="B25" s="11"/>
      <c r="C25" s="13"/>
      <c r="D25" s="11"/>
      <c r="E25" s="11"/>
      <c r="F25" s="11"/>
      <c r="G25" s="11"/>
      <c r="H25" s="11"/>
      <c r="I25" s="11"/>
      <c r="J25" s="11"/>
      <c r="K25" s="24" t="str">
        <f t="shared" si="3"/>
        <v/>
      </c>
      <c r="L25" s="24" t="str">
        <f t="shared" si="3"/>
        <v/>
      </c>
      <c r="M25" s="24" t="str">
        <f t="shared" si="3"/>
        <v/>
      </c>
      <c r="N25" s="24" t="str">
        <f t="shared" si="3"/>
        <v/>
      </c>
      <c r="O25" s="24" t="str">
        <f t="shared" si="3"/>
        <v/>
      </c>
      <c r="P25" s="24" t="str">
        <f t="shared" si="3"/>
        <v/>
      </c>
      <c r="Q25" s="24" t="str">
        <f t="shared" si="3"/>
        <v/>
      </c>
      <c r="R25" s="24" t="str">
        <f t="shared" si="3"/>
        <v/>
      </c>
      <c r="S25" s="24" t="str">
        <f t="shared" si="3"/>
        <v/>
      </c>
      <c r="T25" s="24" t="str">
        <f t="shared" si="3"/>
        <v/>
      </c>
      <c r="U25" s="24" t="str">
        <f t="shared" si="3"/>
        <v/>
      </c>
      <c r="V25" s="24" t="str">
        <f t="shared" si="3"/>
        <v/>
      </c>
      <c r="W25" s="24" t="str">
        <f t="shared" si="3"/>
        <v/>
      </c>
      <c r="X25" s="24" t="str">
        <f t="shared" si="3"/>
        <v/>
      </c>
      <c r="Y25" s="24" t="str">
        <f t="shared" si="3"/>
        <v/>
      </c>
      <c r="Z25" s="24" t="str">
        <f t="shared" si="3"/>
        <v/>
      </c>
      <c r="AA25" s="24" t="str">
        <f t="shared" si="4"/>
        <v/>
      </c>
      <c r="AB25" s="24" t="str">
        <f t="shared" si="4"/>
        <v/>
      </c>
    </row>
    <row r="26" spans="2:28" x14ac:dyDescent="0.2">
      <c r="B26" s="11"/>
      <c r="C26" s="13"/>
      <c r="D26" s="11"/>
      <c r="E26" s="11"/>
      <c r="F26" s="11"/>
      <c r="G26" s="11"/>
      <c r="H26" s="11"/>
      <c r="I26" s="11"/>
      <c r="J26" s="11"/>
      <c r="K26" s="24" t="str">
        <f t="shared" si="3"/>
        <v/>
      </c>
      <c r="L26" s="24" t="str">
        <f t="shared" si="3"/>
        <v/>
      </c>
      <c r="M26" s="24" t="str">
        <f t="shared" si="3"/>
        <v/>
      </c>
      <c r="N26" s="24" t="str">
        <f t="shared" si="3"/>
        <v/>
      </c>
      <c r="O26" s="24" t="str">
        <f t="shared" si="3"/>
        <v/>
      </c>
      <c r="P26" s="24" t="str">
        <f t="shared" si="3"/>
        <v/>
      </c>
      <c r="Q26" s="24" t="str">
        <f t="shared" si="3"/>
        <v/>
      </c>
      <c r="R26" s="24" t="str">
        <f t="shared" si="3"/>
        <v/>
      </c>
      <c r="S26" s="24" t="str">
        <f t="shared" si="3"/>
        <v/>
      </c>
      <c r="T26" s="24" t="str">
        <f t="shared" si="3"/>
        <v/>
      </c>
      <c r="U26" s="24" t="str">
        <f t="shared" si="3"/>
        <v/>
      </c>
      <c r="V26" s="24" t="str">
        <f t="shared" si="3"/>
        <v/>
      </c>
      <c r="W26" s="24" t="str">
        <f t="shared" si="3"/>
        <v/>
      </c>
      <c r="X26" s="24" t="str">
        <f t="shared" si="3"/>
        <v/>
      </c>
      <c r="Y26" s="24" t="str">
        <f t="shared" si="3"/>
        <v/>
      </c>
      <c r="Z26" s="24" t="str">
        <f t="shared" si="3"/>
        <v/>
      </c>
      <c r="AA26" s="24" t="str">
        <f t="shared" si="4"/>
        <v/>
      </c>
      <c r="AB26" s="24" t="str">
        <f t="shared" si="4"/>
        <v/>
      </c>
    </row>
    <row r="27" spans="2:28" x14ac:dyDescent="0.2">
      <c r="B27" s="11"/>
      <c r="C27" s="13"/>
      <c r="D27" s="11"/>
      <c r="E27" s="11"/>
      <c r="F27" s="11"/>
      <c r="G27" s="11"/>
      <c r="H27" s="11"/>
      <c r="I27" s="11"/>
      <c r="J27" s="11"/>
      <c r="K27" s="24" t="str">
        <f t="shared" si="3"/>
        <v/>
      </c>
      <c r="L27" s="24" t="str">
        <f t="shared" si="3"/>
        <v/>
      </c>
      <c r="M27" s="24" t="str">
        <f t="shared" si="3"/>
        <v/>
      </c>
      <c r="N27" s="24" t="str">
        <f t="shared" si="3"/>
        <v/>
      </c>
      <c r="O27" s="24" t="str">
        <f t="shared" si="3"/>
        <v/>
      </c>
      <c r="P27" s="24" t="str">
        <f t="shared" si="3"/>
        <v/>
      </c>
      <c r="Q27" s="24" t="str">
        <f t="shared" si="3"/>
        <v/>
      </c>
      <c r="R27" s="24" t="str">
        <f t="shared" si="3"/>
        <v/>
      </c>
      <c r="S27" s="24" t="str">
        <f t="shared" si="3"/>
        <v/>
      </c>
      <c r="T27" s="24" t="str">
        <f t="shared" si="3"/>
        <v/>
      </c>
      <c r="U27" s="24" t="str">
        <f t="shared" si="3"/>
        <v/>
      </c>
      <c r="V27" s="24" t="str">
        <f t="shared" si="3"/>
        <v/>
      </c>
      <c r="W27" s="24" t="str">
        <f t="shared" si="3"/>
        <v/>
      </c>
      <c r="X27" s="24" t="str">
        <f t="shared" si="3"/>
        <v/>
      </c>
      <c r="Y27" s="24" t="str">
        <f t="shared" si="3"/>
        <v/>
      </c>
      <c r="Z27" s="24" t="str">
        <f t="shared" si="3"/>
        <v/>
      </c>
      <c r="AA27" s="24" t="str">
        <f t="shared" si="4"/>
        <v/>
      </c>
      <c r="AB27" s="24" t="str">
        <f t="shared" si="4"/>
        <v/>
      </c>
    </row>
    <row r="28" spans="2:28" x14ac:dyDescent="0.2">
      <c r="B28" s="11"/>
      <c r="C28" s="13"/>
      <c r="D28" s="11"/>
      <c r="E28" s="11"/>
      <c r="F28" s="11"/>
      <c r="G28" s="11"/>
      <c r="H28" s="11"/>
      <c r="I28" s="11"/>
      <c r="J28" s="11"/>
      <c r="K28" s="24" t="str">
        <f t="shared" si="3"/>
        <v/>
      </c>
      <c r="L28" s="24" t="str">
        <f t="shared" si="3"/>
        <v/>
      </c>
      <c r="M28" s="24" t="str">
        <f t="shared" si="3"/>
        <v/>
      </c>
      <c r="N28" s="24" t="str">
        <f t="shared" si="3"/>
        <v/>
      </c>
      <c r="O28" s="24" t="str">
        <f t="shared" si="3"/>
        <v/>
      </c>
      <c r="P28" s="24" t="str">
        <f t="shared" si="3"/>
        <v/>
      </c>
      <c r="Q28" s="24" t="str">
        <f t="shared" si="3"/>
        <v/>
      </c>
      <c r="R28" s="24" t="str">
        <f t="shared" si="3"/>
        <v/>
      </c>
      <c r="S28" s="24" t="str">
        <f t="shared" si="3"/>
        <v/>
      </c>
      <c r="T28" s="24" t="str">
        <f t="shared" si="3"/>
        <v/>
      </c>
      <c r="U28" s="24" t="str">
        <f t="shared" si="3"/>
        <v/>
      </c>
      <c r="V28" s="24" t="str">
        <f t="shared" si="3"/>
        <v/>
      </c>
      <c r="W28" s="24" t="str">
        <f t="shared" si="3"/>
        <v/>
      </c>
      <c r="X28" s="24" t="str">
        <f t="shared" si="3"/>
        <v/>
      </c>
      <c r="Y28" s="24" t="str">
        <f t="shared" si="3"/>
        <v/>
      </c>
      <c r="Z28" s="24" t="str">
        <f t="shared" si="3"/>
        <v/>
      </c>
      <c r="AA28" s="24" t="str">
        <f t="shared" si="4"/>
        <v/>
      </c>
      <c r="AB28" s="24" t="str">
        <f t="shared" si="4"/>
        <v/>
      </c>
    </row>
    <row r="29" spans="2:28" x14ac:dyDescent="0.2">
      <c r="B29" s="11"/>
      <c r="C29" s="13"/>
      <c r="D29" s="11"/>
      <c r="E29" s="11"/>
      <c r="F29" s="11"/>
      <c r="G29" s="11"/>
      <c r="H29" s="11"/>
      <c r="I29" s="11"/>
      <c r="J29" s="11"/>
      <c r="K29" s="24" t="str">
        <f t="shared" si="3"/>
        <v/>
      </c>
      <c r="L29" s="24" t="str">
        <f t="shared" si="3"/>
        <v/>
      </c>
      <c r="M29" s="24" t="str">
        <f t="shared" si="3"/>
        <v/>
      </c>
      <c r="N29" s="24" t="str">
        <f t="shared" si="3"/>
        <v/>
      </c>
      <c r="O29" s="24" t="str">
        <f t="shared" si="3"/>
        <v/>
      </c>
      <c r="P29" s="24" t="str">
        <f t="shared" si="3"/>
        <v/>
      </c>
      <c r="Q29" s="24" t="str">
        <f t="shared" si="3"/>
        <v/>
      </c>
      <c r="R29" s="24" t="str">
        <f t="shared" si="3"/>
        <v/>
      </c>
      <c r="S29" s="24" t="str">
        <f t="shared" si="3"/>
        <v/>
      </c>
      <c r="T29" s="24" t="str">
        <f t="shared" si="3"/>
        <v/>
      </c>
      <c r="U29" s="24" t="str">
        <f t="shared" si="3"/>
        <v/>
      </c>
      <c r="V29" s="24" t="str">
        <f t="shared" si="3"/>
        <v/>
      </c>
      <c r="W29" s="24" t="str">
        <f t="shared" si="3"/>
        <v/>
      </c>
      <c r="X29" s="24" t="str">
        <f t="shared" si="3"/>
        <v/>
      </c>
      <c r="Y29" s="24" t="str">
        <f t="shared" si="3"/>
        <v/>
      </c>
      <c r="Z29" s="24" t="str">
        <f t="shared" si="3"/>
        <v/>
      </c>
      <c r="AA29" s="24" t="str">
        <f t="shared" si="4"/>
        <v/>
      </c>
      <c r="AB29" s="24" t="str">
        <f t="shared" si="4"/>
        <v/>
      </c>
    </row>
    <row r="30" spans="2:28" x14ac:dyDescent="0.2">
      <c r="B30" s="11"/>
      <c r="C30" s="19"/>
      <c r="D30" s="11"/>
      <c r="E30" s="11"/>
      <c r="F30" s="11"/>
      <c r="G30" s="11"/>
      <c r="H30" s="11"/>
      <c r="I30" s="11"/>
      <c r="J30" s="11"/>
      <c r="K30" s="24" t="str">
        <f t="shared" si="3"/>
        <v/>
      </c>
      <c r="L30" s="24" t="str">
        <f t="shared" si="3"/>
        <v/>
      </c>
      <c r="M30" s="24" t="str">
        <f t="shared" si="3"/>
        <v/>
      </c>
      <c r="N30" s="24" t="str">
        <f t="shared" si="3"/>
        <v/>
      </c>
      <c r="O30" s="24" t="str">
        <f t="shared" si="3"/>
        <v/>
      </c>
      <c r="P30" s="24" t="str">
        <f t="shared" si="3"/>
        <v/>
      </c>
      <c r="Q30" s="24" t="str">
        <f t="shared" si="3"/>
        <v/>
      </c>
      <c r="R30" s="24" t="str">
        <f t="shared" si="3"/>
        <v/>
      </c>
      <c r="S30" s="24" t="str">
        <f t="shared" si="3"/>
        <v/>
      </c>
      <c r="T30" s="24" t="str">
        <f t="shared" si="3"/>
        <v/>
      </c>
      <c r="U30" s="24" t="str">
        <f t="shared" si="3"/>
        <v/>
      </c>
      <c r="V30" s="24" t="str">
        <f t="shared" si="3"/>
        <v/>
      </c>
      <c r="W30" s="24" t="str">
        <f t="shared" si="3"/>
        <v/>
      </c>
      <c r="X30" s="24" t="str">
        <f t="shared" si="3"/>
        <v/>
      </c>
      <c r="Y30" s="24" t="str">
        <f t="shared" si="3"/>
        <v/>
      </c>
      <c r="Z30" s="24" t="str">
        <f t="shared" si="3"/>
        <v/>
      </c>
      <c r="AA30" s="24" t="str">
        <f t="shared" si="4"/>
        <v/>
      </c>
      <c r="AB30" s="24" t="str">
        <f t="shared" si="4"/>
        <v/>
      </c>
    </row>
    <row r="31" spans="2:28" x14ac:dyDescent="0.2">
      <c r="B31" s="12"/>
      <c r="C31" s="20" t="s">
        <v>42</v>
      </c>
      <c r="D31" s="12"/>
      <c r="E31" s="12"/>
      <c r="F31" s="12"/>
      <c r="G31" s="12"/>
      <c r="H31" s="12"/>
      <c r="I31" s="12"/>
      <c r="J31" s="12"/>
    </row>
    <row r="32" spans="2:28" x14ac:dyDescent="0.2">
      <c r="C32" s="21" t="s">
        <v>40</v>
      </c>
    </row>
    <row r="33" spans="3:3" x14ac:dyDescent="0.2">
      <c r="C33" s="22" t="s">
        <v>43</v>
      </c>
    </row>
    <row r="34" spans="3:3" x14ac:dyDescent="0.2">
      <c r="C34" s="23" t="s">
        <v>41</v>
      </c>
    </row>
  </sheetData>
  <mergeCells count="5">
    <mergeCell ref="K3:L3"/>
    <mergeCell ref="M3:P3"/>
    <mergeCell ref="Q3:U3"/>
    <mergeCell ref="V3:Y3"/>
    <mergeCell ref="Z3:AB3"/>
  </mergeCells>
  <conditionalFormatting sqref="H6:H30">
    <cfRule type="containsText" dxfId="7" priority="6" operator="containsText" text="Not started">
      <formula>NOT(ISERROR(SEARCH("Not started",H6)))</formula>
    </cfRule>
    <cfRule type="containsText" dxfId="6" priority="7" operator="containsText" text="In progress">
      <formula>NOT(ISERROR(SEARCH("In progress",H6)))</formula>
    </cfRule>
    <cfRule type="containsText" dxfId="5" priority="8" operator="containsText" text="Completed">
      <formula>NOT(ISERROR(SEARCH("Completed",H6)))</formula>
    </cfRule>
    <cfRule type="containsText" dxfId="4" priority="9" operator="containsText" text="Blocked">
      <formula>NOT(ISERROR(SEARCH("Blocked",H6)))</formula>
    </cfRule>
  </conditionalFormatting>
  <conditionalFormatting sqref="K6:AB30">
    <cfRule type="expression" dxfId="3" priority="1" stopIfTrue="1">
      <formula>AND($H6="Completed",K$4 = $F6 - WEEKDAY($F6,2)+1)</formula>
    </cfRule>
    <cfRule type="expression" dxfId="2" priority="3">
      <formula>AND(K$4&gt;=$E6-(WEEKDAY($E6,2)+1),K$4&lt;=$F6)</formula>
    </cfRule>
    <cfRule type="expression" dxfId="1" priority="4" stopIfTrue="1">
      <formula>K$4=(TODAY()-WEEKDAY(TODAY(),2)+1)</formula>
    </cfRule>
    <cfRule type="expression" dxfId="0" priority="5">
      <formula>K$4=(TODAY0-WEEKDAY(TODAY0,2)+1)</formula>
    </cfRule>
  </conditionalFormatting>
  <dataValidations count="1">
    <dataValidation type="list" allowBlank="1" showInputMessage="1" showErrorMessage="1" promptTitle="Blocked" sqref="H20:H30 H6:H18" xr:uid="{8DA2CF23-E7C4-1843-84DF-0D3289AAF60D}">
      <formula1>$C$31:$C$34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Ullah</dc:creator>
  <cp:lastModifiedBy>Saad Ullah</cp:lastModifiedBy>
  <dcterms:created xsi:type="dcterms:W3CDTF">2025-02-20T22:04:00Z</dcterms:created>
  <dcterms:modified xsi:type="dcterms:W3CDTF">2025-02-23T23:51:27Z</dcterms:modified>
</cp:coreProperties>
</file>